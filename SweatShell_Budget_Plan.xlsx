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lan" sheetId="1" state="visible" r:id="rId3"/>
    <sheet name="BOM" sheetId="2" state="visible" r:id="rId4"/>
  </sheets>
  <definedNames>
    <definedName function="false" hidden="false" localSheetId="1" name="_xlnm.Print_Area" vbProcedure="false">BOM!$A$1:$G$53</definedName>
    <definedName function="false" hidden="false" localSheetId="0" name="_xlnm.Print_Area" vbProcedure="false">'Budget Plan'!$A$1:$H$48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<sst xmlns="http://schemas.openxmlformats.org/spreadsheetml/2006/main" count="173" uniqueCount="158">
  <si>
    <t xml:space="preserve">SweatShell — Kế hoạch ngân sách 5 năm</t>
  </si>
  <si>
    <t xml:space="preserve">Đơn vị: TRIỆU ĐỒNG (trừ các dòng ghi rõ đơn vị khác). Xanh dương = nhập tay · Xanh lá = lấy từ sheet BOM · Đen = công thức.</t>
  </si>
  <si>
    <t xml:space="preserve">Năm</t>
  </si>
  <si>
    <t xml:space="preserve">Y1 (Thử nghiệm)</t>
  </si>
  <si>
    <t xml:space="preserve">Y2 (Có khách)</t>
  </si>
  <si>
    <t xml:space="preserve">Y3 (Mở rộng)</t>
  </si>
  <si>
    <t xml:space="preserve">Y4 (Tăng trưởng)</t>
  </si>
  <si>
    <t xml:space="preserve">Y5 (Nhân vùng)</t>
  </si>
  <si>
    <t xml:space="preserve">Giả định</t>
  </si>
  <si>
    <t xml:space="preserve">DOANH THU</t>
  </si>
  <si>
    <t xml:space="preserve">Doanh thu tấm + doanh thu bộ điều khiển</t>
  </si>
  <si>
    <t xml:space="preserve">Sản lượng tấm (m²)</t>
  </si>
  <si>
    <t xml:space="preserve">Y1 ≈ 25–30 mái thử nghiệm. Y5 ≈ 9.000 mái — vẫn rất nhỏ so với số hộ chăn nuôi/nhà màng ở VN.</t>
  </si>
  <si>
    <t xml:space="preserve">Giá bán tấm (₫/m²)</t>
  </si>
  <si>
    <t xml:space="preserve">Giá vốn ~28.000₫/m² → biên gộp ~53%. Mái 30 m² ≈ 1,8 triệu ₫.</t>
  </si>
  <si>
    <t xml:space="preserve">Doanh thu tấm</t>
  </si>
  <si>
    <t xml:space="preserve">Sản lượng bộ điều khiển (bộ)</t>
  </si>
  <si>
    <t xml:space="preserve">≈ 1 bộ cho mỗi 70–80 m² tấm. Đa số hộ mua tấm trước, bộ điều khiển sau.</t>
  </si>
  <si>
    <t xml:space="preserve">Giá bán bộ điều khiển (₫/bộ)</t>
  </si>
  <si>
    <t xml:space="preserve">Bản FULL. Bản LITE bán ~800.000₫ — nên là lựa chọn mặc định khi chào hàng.</t>
  </si>
  <si>
    <t xml:space="preserve">Doanh thu bộ điều khiển</t>
  </si>
  <si>
    <t xml:space="preserve">CAPEX</t>
  </si>
  <si>
    <t xml:space="preserve">Thiết bị sản xuất</t>
  </si>
  <si>
    <t xml:space="preserve">Y1: máy nghiền, bàn phủ, giàn sấy, dụng cụ đo. Chi tiết ở sheet BOM mục C.</t>
  </si>
  <si>
    <t xml:space="preserve">Khuôn, đồ gá, dụng cụ</t>
  </si>
  <si>
    <t xml:space="preserve">Thiết bị kiểm nghiệm</t>
  </si>
  <si>
    <t xml:space="preserve">Rẻ hơn nhiều nếu thuê lab trường ĐH thay vì mua.</t>
  </si>
  <si>
    <t xml:space="preserve">OPEX</t>
  </si>
  <si>
    <t xml:space="preserve">Giá vốn — vật liệu tấm</t>
  </si>
  <si>
    <t xml:space="preserve">Sản lượng m² × giá vốn/m² (sheet BOM, ô F31)</t>
  </si>
  <si>
    <t xml:space="preserve">Giá vốn — bộ điều khiển</t>
  </si>
  <si>
    <t xml:space="preserve">Số bộ × giá vốn bản FULL (sheet BOM, ô F20)</t>
  </si>
  <si>
    <t xml:space="preserve">Nhân sự</t>
  </si>
  <si>
    <t xml:space="preserve">Y1: 2 người toàn thời gian + sinh viên bán thời gian. Y5: ~15 người.</t>
  </si>
  <si>
    <t xml:space="preserve">Marketing &amp; kênh phân phối</t>
  </si>
  <si>
    <t xml:space="preserve">Hội nông dân, đại lý vật tư nông nghiệp, mái mẫu tại xã. Kênh này hiệu quả hơn quảng cáo online với nhóm khách này.</t>
  </si>
  <si>
    <t xml:space="preserve">R&amp;D &amp; thử nghiệm đồng ruộng</t>
  </si>
  <si>
    <t xml:space="preserve">Đo thật trên mái thật qua mùa khô — không có số liệu này thì không bán được.</t>
  </si>
  <si>
    <t xml:space="preserve">Vận chuyển &amp; lắp đặt</t>
  </si>
  <si>
    <t xml:space="preserve">Doanh thu × tỷ lệ ở ô C28</t>
  </si>
  <si>
    <t xml:space="preserve">Xưởng, điện nước</t>
  </si>
  <si>
    <t xml:space="preserve">Hành chính, pháp lý, chứng nhận</t>
  </si>
  <si>
    <t xml:space="preserve">Gồm kiểm nghiệm an toàn vật liệu — cần có trước khi bán đại trà.</t>
  </si>
  <si>
    <t xml:space="preserve">Tỷ lệ vận chuyển &amp; lắp đặt (% doanh thu)</t>
  </si>
  <si>
    <t xml:space="preserve">Nông thôn, đường xa, hàng cồng kềnh — đừng để dưới 4%.</t>
  </si>
  <si>
    <t xml:space="preserve">Tổng CAPEX</t>
  </si>
  <si>
    <t xml:space="preserve">Tổng OPEX</t>
  </si>
  <si>
    <t xml:space="preserve">TỔNG CHI PHÍ</t>
  </si>
  <si>
    <t xml:space="preserve">LỢI NHUẬN RÒNG (FCF)</t>
  </si>
  <si>
    <t xml:space="preserve">Doanh thu − tổng chi phí</t>
  </si>
  <si>
    <t xml:space="preserve">LUỸ KẾ</t>
  </si>
  <si>
    <t xml:space="preserve">Số âm sâu nhất chính là số vốn cần huy động.</t>
  </si>
  <si>
    <t xml:space="preserve">CHỈ SỐ KIỂM TRA</t>
  </si>
  <si>
    <t xml:space="preserve">Biên lợi nhuận gộp</t>
  </si>
  <si>
    <t xml:space="preserve">Dưới 45% là báo động — không đủ gánh chi phí cố định.</t>
  </si>
  <si>
    <t xml:space="preserve">Chi phí cố định / doanh thu</t>
  </si>
  <si>
    <t xml:space="preserve">Phải tụt xuống dưới biên gộp thì mới có lãi.</t>
  </si>
  <si>
    <t xml:space="preserve">Giá bán 1 mái 30 m² (triệu ₫)</t>
  </si>
  <si>
    <t xml:space="preserve">Con số nông dân thật sự nghe thấy. Trên 2 triệu là rất khó bán lần đầu.</t>
  </si>
  <si>
    <t xml:space="preserve">CÁCH DÙNG FILE NÀY</t>
  </si>
  <si>
    <t xml:space="preserve">•  Chỉ sửa các ô CHỮ XANH DƯƠNG — sản lượng, giá bán, và các khoản chi theo năm. Mọi ô khác tự tính.</t>
  </si>
  <si>
    <t xml:space="preserve">•  Giá vốn tấm và bộ điều khiển nằm ở sheet BOM. Sửa đơn giá linh kiện ở đó, bảng này tự cập nhật.</t>
  </si>
  <si>
    <t xml:space="preserve">•  Dòng LUỸ KẾ cho biết cần bao nhiêu vốn: số âm sâu nhất là đỉnh thiếu hụt tiền mặt.</t>
  </si>
  <si>
    <t xml:space="preserve">•  Toàn bộ giá linh kiện tra ngày 03/10/2026; ô nào là ƯỚC TÍNH đều ghi rõ ở cột ghi chú sheet BOM.</t>
  </si>
  <si>
    <t xml:space="preserve">SweatShell — Định mức thiết bị &amp; giá vốn</t>
  </si>
  <si>
    <t xml:space="preserve">Giá tham khảo thị trường Việt Nam, tra ngày 03/10/2026. Ô chữ xanh dương = số nhập tay, sửa được.</t>
  </si>
  <si>
    <t xml:space="preserve">A. BỘ ĐIỀU KHIỂN (1 bộ cho 1 mái)</t>
  </si>
  <si>
    <t xml:space="preserve">Linh kiện</t>
  </si>
  <si>
    <t xml:space="preserve">SL</t>
  </si>
  <si>
    <t xml:space="preserve">Giá lẻ (₫)</t>
  </si>
  <si>
    <t xml:space="preserve">Giá sỉ ≥100 (₫)</t>
  </si>
  <si>
    <t xml:space="preserve">Thành tiền sỉ (₫)</t>
  </si>
  <si>
    <t xml:space="preserve">Ghi chú / nguồn</t>
  </si>
  <si>
    <t xml:space="preserve">ESP32 DevKit V1 (ESP-WROOM-32)</t>
  </si>
  <si>
    <t xml:space="preserve">Giá lẻ linhkienvietnam.vn. Sỉ: mua module trần ESP-WROOM-32 + tự làm PCB.</t>
  </si>
  <si>
    <t xml:space="preserve">Cảm biến nhiệt độ DS18B20 (chống nước)</t>
  </si>
  <si>
    <t xml:space="preserve">14.000₫/cái lẻ — linhkienthanhcong.com. 3 cái: trong nhà, ngoài trời, mặt tấm.</t>
  </si>
  <si>
    <t xml:space="preserve">Cảm biến độ ẩm điện dung (gel)</t>
  </si>
  <si>
    <t xml:space="preserve">Ước tính. Phải dùng loại điện dung — loại điện trở ăn mòn trong vài tuần.</t>
  </si>
  <si>
    <t xml:space="preserve">Máy bơm chìm mini 12V, 150 L/h</t>
  </si>
  <si>
    <t xml:space="preserve">25.000₫ lẻ — chotroihn.vn (MB365, cột áp 1,5 m). Đủ cho mái 1 tầng.</t>
  </si>
  <si>
    <t xml:space="preserve">Module relay 2 kênh</t>
  </si>
  <si>
    <t xml:space="preserve">Ước tính.</t>
  </si>
  <si>
    <t xml:space="preserve">Nguồn 12V 2A + bảo vệ</t>
  </si>
  <si>
    <t xml:space="preserve">Hộp chống nước IP65 + ốc siết cáp</t>
  </si>
  <si>
    <t xml:space="preserve">Ước tính. Bắt buộc — hộp đặt ngoài mái, mưa nắng quanh năm.</t>
  </si>
  <si>
    <t xml:space="preserve">Dây điện, ống dẫn nước, đầu nối</t>
  </si>
  <si>
    <t xml:space="preserve">PCB + lắp ráp + kiểm tra</t>
  </si>
  <si>
    <t xml:space="preserve">Chỉ phát sinh khi sản xuất loạt; làm tay ở bản thử nên giá lẻ = 0.</t>
  </si>
  <si>
    <t xml:space="preserve">Cộng — bản LITE (không motor, cuốn tay)</t>
  </si>
  <si>
    <t xml:space="preserve">Đo nhiệt độ + tự tưới gel. Nông dân tự kéo màn bằng dây. Đây là bản nên bán cho đa số hộ.</t>
  </si>
  <si>
    <t xml:space="preserve">Thêm cho bản FULL (cuốn tự động)</t>
  </si>
  <si>
    <t xml:space="preserve">Động cơ giảm tốc 12V trục vít + driver</t>
  </si>
  <si>
    <t xml:space="preserve">Ước tính. KHÔNG dùng 28BYJ-48 (55.000₫, caka.vn) ngoài thực địa — mô-men ~0,3 kg·cm, chỉ đủ cho mô hình demo.</t>
  </si>
  <si>
    <t xml:space="preserve">Công tắc hành trình (giới hạn cuốn)</t>
  </si>
  <si>
    <t xml:space="preserve">Ước tính. Thiếu nó thì motor kéo quá hành trình và rách tấm.</t>
  </si>
  <si>
    <t xml:space="preserve">Cộng — bản FULL</t>
  </si>
  <si>
    <t xml:space="preserve">Giá vốn 1 bộ FULL ở sản lượng 100 bộ.</t>
  </si>
  <si>
    <t xml:space="preserve">B. TẤM SWEATSHELL — giá vốn cho 1 m²</t>
  </si>
  <si>
    <t xml:space="preserve">Vật liệu</t>
  </si>
  <si>
    <t xml:space="preserve">Định mức /m²</t>
  </si>
  <si>
    <t xml:space="preserve">Đơn vị</t>
  </si>
  <si>
    <t xml:space="preserve">Đơn giá (₫)</t>
  </si>
  <si>
    <t xml:space="preserve">Thành tiền (₫/m²)</t>
  </si>
  <si>
    <t xml:space="preserve">Lưới che nắng VN (lớp nền)</t>
  </si>
  <si>
    <t xml:space="preserve">m²</t>
  </si>
  <si>
    <t xml:space="preserve">4.500–6.500 ₫/m² — anhphatgroup.com. Lấy 5.500 và cộng 5% hao cắt.</t>
  </si>
  <si>
    <t xml:space="preserve">Bột vỏ trứng (phế phẩm + nghiền)</t>
  </si>
  <si>
    <t xml:space="preserve">kg</t>
  </si>
  <si>
    <t xml:space="preserve">Vỏ trứng xin từ lò ấp/nhà hàng gần như miễn phí; 2.000₫/kg là chi phí rửa, sấy, nghiền.</t>
  </si>
  <si>
    <t xml:space="preserve">Sodium alginate</t>
  </si>
  <si>
    <t xml:space="preserve">~9 USD/kg (imarcgroup.com Q2-2026, Nhật 11,47 / Tây Ban Nha 8,68). ĐÂY LÀ KHOẢN ĐẮT NHẤT — xem mục D.</t>
  </si>
  <si>
    <t xml:space="preserve">CaCl₂ (tạo liên kết gel)</t>
  </si>
  <si>
    <t xml:space="preserve">Ước tính, hoá chất công nghiệp.</t>
  </si>
  <si>
    <t xml:space="preserve">Chất kết dính phủ (PVA/acrylic)</t>
  </si>
  <si>
    <t xml:space="preserve">Nhân công phủ + sấy</t>
  </si>
  <si>
    <t xml:space="preserve">Ước tính, ~250.000₫/ngày cho 100 m².</t>
  </si>
  <si>
    <t xml:space="preserve">Hao hụt sản xuất</t>
  </si>
  <si>
    <t xml:space="preserve">Mẻ gel hỏng, cắt thừa, tấm không đạt.</t>
  </si>
  <si>
    <t xml:space="preserve">GIÁ VỐN 1 m² TẤM</t>
  </si>
  <si>
    <t xml:space="preserve">C. THIẾT BỊ SẢN XUẤT (CAPEX, triệu ₫)</t>
  </si>
  <si>
    <t xml:space="preserve">Thiết bị</t>
  </si>
  <si>
    <t xml:space="preserve">Giá (triệu ₫)</t>
  </si>
  <si>
    <t xml:space="preserve">Ghi chú</t>
  </si>
  <si>
    <t xml:space="preserve">Máy nghiền vỏ trứng (búa, 50 kg/h)</t>
  </si>
  <si>
    <t xml:space="preserve">Y1</t>
  </si>
  <si>
    <t xml:space="preserve">Loại dùng cho thức ăn chăn nuôi, mua lại máy cũ được.</t>
  </si>
  <si>
    <t xml:space="preserve">Bàn phủ + con lăn + khung căng</t>
  </si>
  <si>
    <t xml:space="preserve">Tự đóng, thợ cơ khí địa phương.</t>
  </si>
  <si>
    <t xml:space="preserve">Tủ sấy / giàn phơi có mái</t>
  </si>
  <si>
    <t xml:space="preserve">Sấy bằng nắng là rẻ nhất, chỉ cần mái che mưa.</t>
  </si>
  <si>
    <t xml:space="preserve">Cân, dụng cụ đo, nhiệt kế hồng ngoại</t>
  </si>
  <si>
    <t xml:space="preserve">Bắt buộc để kiểm tra định mức.</t>
  </si>
  <si>
    <t xml:space="preserve">Khuôn, đồ gá, bộ dụng cụ lắp</t>
  </si>
  <si>
    <t xml:space="preserve">Thiết bị kiểm nghiệm (độ bền, UV, bám dính)</t>
  </si>
  <si>
    <t xml:space="preserve">Có thể thuê phòng lab trường ĐH thay vì mua.</t>
  </si>
  <si>
    <t xml:space="preserve">Máy phủ bán tự động</t>
  </si>
  <si>
    <t xml:space="preserve">Y2</t>
  </si>
  <si>
    <t xml:space="preserve">Khi vượt ~800 m²/tháng thì làm tay không kịp.</t>
  </si>
  <si>
    <t xml:space="preserve">Máy nghiền + sấy công suất lớn</t>
  </si>
  <si>
    <t xml:space="preserve">Dây chuyền phủ liên tục + kho</t>
  </si>
  <si>
    <t xml:space="preserve">Y3</t>
  </si>
  <si>
    <t xml:space="preserve">Nâng cấp dây chuyền, xe giao hàng</t>
  </si>
  <si>
    <t xml:space="preserve">Y4</t>
  </si>
  <si>
    <t xml:space="preserve">Xưởng vùng 2 (miền Trung/Tây Nguyên)</t>
  </si>
  <si>
    <t xml:space="preserve">Y5</t>
  </si>
  <si>
    <t xml:space="preserve">Giảm chi phí vận chuyển tới vùng nóng.</t>
  </si>
  <si>
    <t xml:space="preserve">D. ĐÒN BẨY GIẢM GIÁ THÀNH (quan trọng nhất khi bán cho nông dân)</t>
  </si>
  <si>
    <t xml:space="preserve">1. Alginate chiếm phần lớn giá vốn tấm.</t>
  </si>
  <si>
    <t xml:space="preserve">Giảm nồng độ gel từ 2% xuống 1,5% hoặc pha 50% CMC (rẻ hơn ~3 lần) là cách cắt giá mạnh nhất. Phải thử nghiệm xem còn giữ nước đủ lâu không.</t>
  </si>
  <si>
    <t xml:space="preserve">2. Vỏ trứng là phế phẩm — đừng mua, hãy đi xin.</t>
  </si>
  <si>
    <t xml:space="preserve">Lò ấp, nhà hàng, cơ sở làm bánh đang phải TRẢ TIỀN để đổ bỏ. Ký thoả thuận lấy miễn phí, chi phí chỉ còn công nghiền.</t>
  </si>
  <si>
    <t xml:space="preserve">3. Bán bản LITE là mặc định, FULL là tuỳ chọn.</t>
  </si>
  <si>
    <t xml:space="preserve">Động cơ chiếm phần lớn giá bộ điều khiển. Đa số hộ chấp nhận kéo tay.</t>
  </si>
  <si>
    <t xml:space="preserve">4. Một bộ điều khiển dùng cho nhiều tấm.</t>
  </si>
  <si>
    <t xml:space="preserve">Bán theo m² tấm + 1 bộ/mái, không bán 1 bộ/tấm.</t>
  </si>
  <si>
    <t xml:space="preserve">5. Gel nạp lại bằng NƯỚC, không phải vật tư mới.</t>
  </si>
  <si>
    <t xml:space="preserve">Đây là lợi thế bán hàng lớn nhất: sau khi mua, chi phí vận hành gần như bằng 0. Chỉ phun lại dung dịch alginate sau ~3 tháng.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</si>
</sst>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BFBFBF"/>
      </patternFill>
    </fill>
    <fill>
      <patternFill patternType="solid">
        <fgColor rgb="FFA9D08E"/>
        <bgColor rgb="FFBFBFB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7"/>
    <col collapsed="false" customWidth="true" hidden="false" outlineLevel="0" max="8" min="8" style="0" width="4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0" hidden="false" customHeight="true" outlineLevel="0" collapsed="false"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3" t="s">
        <v>8</v>
      </c>
    </row>
    <row r="5" customFormat="false" ht="15" hidden="false" customHeight="false" outlineLevel="0" collapsed="false">
      <c r="B5" s="5" t="s">
        <v>9</v>
      </c>
      <c r="C5" s="6" t="n">
        <f aca="false">C8+C11</f>
        <v>84</v>
      </c>
      <c r="D5" s="6" t="n">
        <f aca="false">D8+D11</f>
        <v>780</v>
      </c>
      <c r="E5" s="6" t="n">
        <f aca="false">E8+E11</f>
        <v>3840</v>
      </c>
      <c r="F5" s="6" t="n">
        <f aca="false">F8+F11</f>
        <v>11400</v>
      </c>
      <c r="G5" s="6" t="n">
        <f aca="false">G8+G11</f>
        <v>26400</v>
      </c>
      <c r="H5" s="7" t="s">
        <v>10</v>
      </c>
    </row>
    <row r="6" customFormat="false" ht="22.35" hidden="false" customHeight="false" outlineLevel="0" collapsed="false">
      <c r="B6" s="8" t="s">
        <v>11</v>
      </c>
      <c r="C6" s="9" t="n">
        <v>1000</v>
      </c>
      <c r="D6" s="9" t="n">
        <v>10000</v>
      </c>
      <c r="E6" s="9" t="n">
        <v>50000</v>
      </c>
      <c r="F6" s="9" t="n">
        <v>150000</v>
      </c>
      <c r="G6" s="9" t="n">
        <v>350000</v>
      </c>
      <c r="H6" s="7" t="s">
        <v>12</v>
      </c>
    </row>
    <row r="7" customFormat="false" ht="22.35" hidden="false" customHeight="false" outlineLevel="0" collapsed="false">
      <c r="B7" s="8" t="s">
        <v>13</v>
      </c>
      <c r="C7" s="9" t="n">
        <v>60000</v>
      </c>
      <c r="D7" s="9" t="n">
        <v>60000</v>
      </c>
      <c r="E7" s="9" t="n">
        <v>60000</v>
      </c>
      <c r="F7" s="9" t="n">
        <v>60000</v>
      </c>
      <c r="G7" s="9" t="n">
        <v>60000</v>
      </c>
      <c r="H7" s="7" t="s">
        <v>14</v>
      </c>
    </row>
    <row r="8" customFormat="false" ht="15" hidden="false" customHeight="false" outlineLevel="0" collapsed="false">
      <c r="B8" s="8" t="s">
        <v>15</v>
      </c>
      <c r="C8" s="10" t="n">
        <f aca="false">C6*C7/1000000</f>
        <v>60</v>
      </c>
      <c r="D8" s="10" t="n">
        <f aca="false">D6*D7/1000000</f>
        <v>600</v>
      </c>
      <c r="E8" s="10" t="n">
        <f aca="false">E6*E7/1000000</f>
        <v>3000</v>
      </c>
      <c r="F8" s="10" t="n">
        <f aca="false">F6*F7/1000000</f>
        <v>9000</v>
      </c>
      <c r="G8" s="10" t="n">
        <f aca="false">G6*G7/1000000</f>
        <v>21000</v>
      </c>
      <c r="H8" s="11"/>
    </row>
    <row r="9" customFormat="false" ht="22.35" hidden="false" customHeight="false" outlineLevel="0" collapsed="false">
      <c r="B9" s="8" t="s">
        <v>16</v>
      </c>
      <c r="C9" s="9" t="n">
        <v>20</v>
      </c>
      <c r="D9" s="9" t="n">
        <v>150</v>
      </c>
      <c r="E9" s="9" t="n">
        <v>700</v>
      </c>
      <c r="F9" s="9" t="n">
        <v>2000</v>
      </c>
      <c r="G9" s="9" t="n">
        <v>4500</v>
      </c>
      <c r="H9" s="7" t="s">
        <v>17</v>
      </c>
    </row>
    <row r="10" customFormat="false" ht="22.35" hidden="false" customHeight="false" outlineLevel="0" collapsed="false">
      <c r="B10" s="8" t="s">
        <v>18</v>
      </c>
      <c r="C10" s="9" t="n">
        <v>1200000</v>
      </c>
      <c r="D10" s="9" t="n">
        <v>1200000</v>
      </c>
      <c r="E10" s="9" t="n">
        <v>1200000</v>
      </c>
      <c r="F10" s="9" t="n">
        <v>1200000</v>
      </c>
      <c r="G10" s="9" t="n">
        <v>1200000</v>
      </c>
      <c r="H10" s="7" t="s">
        <v>19</v>
      </c>
    </row>
    <row r="11" customFormat="false" ht="15" hidden="false" customHeight="false" outlineLevel="0" collapsed="false">
      <c r="B11" s="8" t="s">
        <v>20</v>
      </c>
      <c r="C11" s="10" t="n">
        <f aca="false">C9*C10/1000000</f>
        <v>24</v>
      </c>
      <c r="D11" s="10" t="n">
        <f aca="false">D9*D10/1000000</f>
        <v>180</v>
      </c>
      <c r="E11" s="10" t="n">
        <f aca="false">E9*E10/1000000</f>
        <v>840</v>
      </c>
      <c r="F11" s="10" t="n">
        <f aca="false">F9*F10/1000000</f>
        <v>2400</v>
      </c>
      <c r="G11" s="10" t="n">
        <f aca="false">G9*G10/1000000</f>
        <v>5400</v>
      </c>
      <c r="H11" s="11"/>
    </row>
    <row r="13" customFormat="false" ht="15" hidden="false" customHeight="false" outlineLevel="0" collapsed="false">
      <c r="B13" s="12" t="s">
        <v>21</v>
      </c>
      <c r="C13" s="13"/>
      <c r="D13" s="13"/>
      <c r="E13" s="13"/>
      <c r="F13" s="13"/>
      <c r="G13" s="13"/>
      <c r="H13" s="13"/>
    </row>
    <row r="14" customFormat="false" ht="22.35" hidden="false" customHeight="false" outlineLevel="0" collapsed="false">
      <c r="B14" s="8" t="s">
        <v>22</v>
      </c>
      <c r="C14" s="9" t="n">
        <v>85</v>
      </c>
      <c r="D14" s="9" t="n">
        <v>180</v>
      </c>
      <c r="E14" s="9" t="n">
        <v>400</v>
      </c>
      <c r="F14" s="9" t="n">
        <v>300</v>
      </c>
      <c r="G14" s="9" t="n">
        <v>500</v>
      </c>
      <c r="H14" s="7" t="s">
        <v>23</v>
      </c>
    </row>
    <row r="15" customFormat="false" ht="15" hidden="false" customHeight="false" outlineLevel="0" collapsed="false">
      <c r="B15" s="8" t="s">
        <v>24</v>
      </c>
      <c r="C15" s="9" t="n">
        <v>15</v>
      </c>
      <c r="D15" s="9" t="n">
        <v>0</v>
      </c>
      <c r="E15" s="9" t="n">
        <v>0</v>
      </c>
      <c r="F15" s="9" t="n">
        <v>0</v>
      </c>
      <c r="G15" s="9" t="n">
        <v>0</v>
      </c>
      <c r="H15" s="11"/>
    </row>
    <row r="16" customFormat="false" ht="15" hidden="false" customHeight="false" outlineLevel="0" collapsed="false">
      <c r="B16" s="8" t="s">
        <v>25</v>
      </c>
      <c r="C16" s="9" t="n">
        <v>20</v>
      </c>
      <c r="D16" s="9" t="n">
        <v>0</v>
      </c>
      <c r="E16" s="9" t="n">
        <v>0</v>
      </c>
      <c r="F16" s="9" t="n">
        <v>0</v>
      </c>
      <c r="G16" s="9" t="n">
        <v>0</v>
      </c>
      <c r="H16" s="7" t="s">
        <v>26</v>
      </c>
    </row>
    <row r="18" customFormat="false" ht="15" hidden="false" customHeight="false" outlineLevel="0" collapsed="false">
      <c r="B18" s="12" t="s">
        <v>27</v>
      </c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B19" s="8" t="s">
        <v>28</v>
      </c>
      <c r="C19" s="14" t="n">
        <f aca="false">C6*BOM!$F$31/1000000</f>
        <v>27.9675</v>
      </c>
      <c r="D19" s="14" t="n">
        <f aca="false">D6*BOM!$F$31/1000000</f>
        <v>279.675</v>
      </c>
      <c r="E19" s="14" t="n">
        <f aca="false">E6*BOM!$F$31/1000000</f>
        <v>1398.375</v>
      </c>
      <c r="F19" s="14" t="n">
        <f aca="false">F6*BOM!$F$31/1000000</f>
        <v>4195.125</v>
      </c>
      <c r="G19" s="14" t="n">
        <f aca="false">G6*BOM!$F$31/1000000</f>
        <v>9788.625</v>
      </c>
      <c r="H19" s="7" t="s">
        <v>29</v>
      </c>
    </row>
    <row r="20" customFormat="false" ht="15" hidden="false" customHeight="false" outlineLevel="0" collapsed="false">
      <c r="B20" s="8" t="s">
        <v>30</v>
      </c>
      <c r="C20" s="14" t="n">
        <f aca="false">C9*BOM!$F$20/1000000</f>
        <v>10.88</v>
      </c>
      <c r="D20" s="14" t="n">
        <f aca="false">D9*BOM!$F$20/1000000</f>
        <v>81.6</v>
      </c>
      <c r="E20" s="14" t="n">
        <f aca="false">E9*BOM!$F$20/1000000</f>
        <v>380.8</v>
      </c>
      <c r="F20" s="14" t="n">
        <f aca="false">F9*BOM!$F$20/1000000</f>
        <v>1088</v>
      </c>
      <c r="G20" s="14" t="n">
        <f aca="false">G9*BOM!$F$20/1000000</f>
        <v>2448</v>
      </c>
      <c r="H20" s="7" t="s">
        <v>31</v>
      </c>
    </row>
    <row r="21" customFormat="false" ht="22.35" hidden="false" customHeight="false" outlineLevel="0" collapsed="false">
      <c r="B21" s="8" t="s">
        <v>32</v>
      </c>
      <c r="C21" s="9" t="n">
        <v>240</v>
      </c>
      <c r="D21" s="9" t="n">
        <v>480</v>
      </c>
      <c r="E21" s="9" t="n">
        <v>1080</v>
      </c>
      <c r="F21" s="9" t="n">
        <v>2160</v>
      </c>
      <c r="G21" s="9" t="n">
        <v>3600</v>
      </c>
      <c r="H21" s="7" t="s">
        <v>33</v>
      </c>
    </row>
    <row r="22" customFormat="false" ht="32.8" hidden="false" customHeight="false" outlineLevel="0" collapsed="false">
      <c r="B22" s="8" t="s">
        <v>34</v>
      </c>
      <c r="C22" s="9" t="n">
        <v>60</v>
      </c>
      <c r="D22" s="9" t="n">
        <v>180</v>
      </c>
      <c r="E22" s="9" t="n">
        <v>500</v>
      </c>
      <c r="F22" s="9" t="n">
        <v>1200</v>
      </c>
      <c r="G22" s="9" t="n">
        <v>2400</v>
      </c>
      <c r="H22" s="7" t="s">
        <v>35</v>
      </c>
    </row>
    <row r="23" customFormat="false" ht="22.35" hidden="false" customHeight="false" outlineLevel="0" collapsed="false">
      <c r="B23" s="8" t="s">
        <v>36</v>
      </c>
      <c r="C23" s="9" t="n">
        <v>80</v>
      </c>
      <c r="D23" s="9" t="n">
        <v>150</v>
      </c>
      <c r="E23" s="9" t="n">
        <v>300</v>
      </c>
      <c r="F23" s="9" t="n">
        <v>500</v>
      </c>
      <c r="G23" s="9" t="n">
        <v>800</v>
      </c>
      <c r="H23" s="7" t="s">
        <v>37</v>
      </c>
    </row>
    <row r="24" customFormat="false" ht="15" hidden="false" customHeight="false" outlineLevel="0" collapsed="false">
      <c r="B24" s="8" t="s">
        <v>38</v>
      </c>
      <c r="C24" s="10" t="n">
        <f aca="false">C5*$C$28</f>
        <v>4.2</v>
      </c>
      <c r="D24" s="10" t="n">
        <f aca="false">D5*$C$28</f>
        <v>39</v>
      </c>
      <c r="E24" s="10" t="n">
        <f aca="false">E5*$C$28</f>
        <v>192</v>
      </c>
      <c r="F24" s="10" t="n">
        <f aca="false">F5*$C$28</f>
        <v>570</v>
      </c>
      <c r="G24" s="10" t="n">
        <f aca="false">G5*$C$28</f>
        <v>1320</v>
      </c>
      <c r="H24" s="7" t="s">
        <v>39</v>
      </c>
    </row>
    <row r="25" customFormat="false" ht="15" hidden="false" customHeight="false" outlineLevel="0" collapsed="false">
      <c r="B25" s="8" t="s">
        <v>40</v>
      </c>
      <c r="C25" s="9" t="n">
        <v>36</v>
      </c>
      <c r="D25" s="9" t="n">
        <v>90</v>
      </c>
      <c r="E25" s="9" t="n">
        <v>240</v>
      </c>
      <c r="F25" s="9" t="n">
        <v>500</v>
      </c>
      <c r="G25" s="9" t="n">
        <v>900</v>
      </c>
      <c r="H25" s="11"/>
    </row>
    <row r="26" customFormat="false" ht="22.35" hidden="false" customHeight="false" outlineLevel="0" collapsed="false">
      <c r="B26" s="8" t="s">
        <v>41</v>
      </c>
      <c r="C26" s="9" t="n">
        <v>50</v>
      </c>
      <c r="D26" s="9" t="n">
        <v>80</v>
      </c>
      <c r="E26" s="9" t="n">
        <v>150</v>
      </c>
      <c r="F26" s="9" t="n">
        <v>250</v>
      </c>
      <c r="G26" s="9" t="n">
        <v>400</v>
      </c>
      <c r="H26" s="7" t="s">
        <v>42</v>
      </c>
    </row>
    <row r="28" customFormat="false" ht="15" hidden="false" customHeight="false" outlineLevel="0" collapsed="false">
      <c r="B28" s="15" t="s">
        <v>43</v>
      </c>
      <c r="C28" s="16" t="n">
        <v>0.05</v>
      </c>
      <c r="H28" s="17" t="s">
        <v>44</v>
      </c>
    </row>
    <row r="30" customFormat="false" ht="15" hidden="false" customHeight="false" outlineLevel="0" collapsed="false">
      <c r="B30" s="18" t="s">
        <v>45</v>
      </c>
      <c r="C30" s="19" t="n">
        <f aca="false">SUM(C14:C16)</f>
        <v>120</v>
      </c>
      <c r="D30" s="19" t="n">
        <f aca="false">SUM(D14:D16)</f>
        <v>180</v>
      </c>
      <c r="E30" s="19" t="n">
        <f aca="false">SUM(E14:E16)</f>
        <v>400</v>
      </c>
      <c r="F30" s="19" t="n">
        <f aca="false">SUM(F14:F16)</f>
        <v>300</v>
      </c>
      <c r="G30" s="19" t="n">
        <f aca="false">SUM(G14:G16)</f>
        <v>500</v>
      </c>
      <c r="H30" s="11"/>
    </row>
    <row r="31" customFormat="false" ht="15" hidden="false" customHeight="false" outlineLevel="0" collapsed="false">
      <c r="B31" s="20" t="s">
        <v>46</v>
      </c>
      <c r="C31" s="19" t="n">
        <f aca="false">SUM(C19:C26)</f>
        <v>509.0475</v>
      </c>
      <c r="D31" s="19" t="n">
        <f aca="false">SUM(D19:D26)</f>
        <v>1380.275</v>
      </c>
      <c r="E31" s="19" t="n">
        <f aca="false">SUM(E19:E26)</f>
        <v>4241.175</v>
      </c>
      <c r="F31" s="19" t="n">
        <f aca="false">SUM(F19:F26)</f>
        <v>10463.125</v>
      </c>
      <c r="G31" s="19" t="n">
        <f aca="false">SUM(G19:G26)</f>
        <v>21656.625</v>
      </c>
      <c r="H31" s="11"/>
    </row>
    <row r="32" customFormat="false" ht="15" hidden="false" customHeight="false" outlineLevel="0" collapsed="false">
      <c r="B32" s="21" t="s">
        <v>47</v>
      </c>
      <c r="C32" s="22" t="n">
        <f aca="false">C30+C31</f>
        <v>629.0475</v>
      </c>
      <c r="D32" s="22" t="n">
        <f aca="false">D30+D31</f>
        <v>1560.275</v>
      </c>
      <c r="E32" s="22" t="n">
        <f aca="false">E30+E31</f>
        <v>4641.175</v>
      </c>
      <c r="F32" s="22" t="n">
        <f aca="false">F30+F31</f>
        <v>10763.125</v>
      </c>
      <c r="G32" s="22" t="n">
        <f aca="false">G30+G31</f>
        <v>22156.625</v>
      </c>
      <c r="H32" s="11"/>
    </row>
    <row r="34" customFormat="false" ht="15" hidden="false" customHeight="false" outlineLevel="0" collapsed="false">
      <c r="B34" s="23" t="s">
        <v>48</v>
      </c>
      <c r="C34" s="24" t="n">
        <f aca="false">C5-C32</f>
        <v>-545.0475</v>
      </c>
      <c r="D34" s="24" t="n">
        <f aca="false">D5-D32</f>
        <v>-780.275</v>
      </c>
      <c r="E34" s="24" t="n">
        <f aca="false">E5-E32</f>
        <v>-801.175</v>
      </c>
      <c r="F34" s="24" t="n">
        <f aca="false">F5-F32</f>
        <v>636.875</v>
      </c>
      <c r="G34" s="24" t="n">
        <f aca="false">G5-G32</f>
        <v>4243.375</v>
      </c>
      <c r="H34" s="7" t="s">
        <v>49</v>
      </c>
    </row>
    <row r="36" customFormat="false" ht="15" hidden="false" customHeight="false" outlineLevel="0" collapsed="false">
      <c r="B36" s="18" t="s">
        <v>50</v>
      </c>
      <c r="C36" s="19" t="n">
        <f aca="false">C34</f>
        <v>-545.0475</v>
      </c>
      <c r="D36" s="19" t="n">
        <f aca="false">C36+D34</f>
        <v>-1325.3225</v>
      </c>
      <c r="E36" s="19" t="n">
        <f aca="false">D36+E34</f>
        <v>-2126.4975</v>
      </c>
      <c r="F36" s="19" t="n">
        <f aca="false">E36+F34</f>
        <v>-1489.6225</v>
      </c>
      <c r="G36" s="19" t="n">
        <f aca="false">F36+G34</f>
        <v>2753.7525</v>
      </c>
      <c r="H36" s="7" t="s">
        <v>51</v>
      </c>
    </row>
    <row r="38" customFormat="false" ht="15" hidden="false" customHeight="false" outlineLevel="0" collapsed="false">
      <c r="B38" s="12" t="s">
        <v>52</v>
      </c>
      <c r="C38" s="13"/>
      <c r="D38" s="13"/>
      <c r="E38" s="13"/>
      <c r="F38" s="13"/>
      <c r="G38" s="13"/>
      <c r="H38" s="13"/>
    </row>
    <row r="39" customFormat="false" ht="15" hidden="false" customHeight="false" outlineLevel="0" collapsed="false">
      <c r="B39" s="8" t="s">
        <v>53</v>
      </c>
      <c r="C39" s="25" t="n">
        <f aca="false">IFERROR((C5-C19-C20)/C5,0)</f>
        <v>0.537529761904762</v>
      </c>
      <c r="D39" s="25" t="n">
        <f aca="false">IFERROR((D5-D19-D20)/D5,0)</f>
        <v>0.536826923076923</v>
      </c>
      <c r="E39" s="25" t="n">
        <f aca="false">IFERROR((E5-E19-E20)/E5,0)</f>
        <v>0.536673177083333</v>
      </c>
      <c r="F39" s="25" t="n">
        <f aca="false">IFERROR((F5-F19-F20)/F5,0)</f>
        <v>0.53656798245614</v>
      </c>
      <c r="G39" s="25" t="n">
        <f aca="false">IFERROR((G5-G19-G20)/G5,0)</f>
        <v>0.536491477272727</v>
      </c>
      <c r="H39" s="7" t="s">
        <v>54</v>
      </c>
    </row>
    <row r="40" customFormat="false" ht="15" hidden="false" customHeight="false" outlineLevel="0" collapsed="false">
      <c r="B40" s="8" t="s">
        <v>55</v>
      </c>
      <c r="C40" s="25" t="n">
        <f aca="false">IFERROR(((C21+C22+C23+C25+C26))/C5,0)</f>
        <v>5.54761904761905</v>
      </c>
      <c r="D40" s="25" t="n">
        <f aca="false">IFERROR(((D21+D22+D23+D25+D26))/D5,0)</f>
        <v>1.25641025641026</v>
      </c>
      <c r="E40" s="25" t="n">
        <f aca="false">IFERROR(((E21+E22+E23+E25+E26))/E5,0)</f>
        <v>0.591145833333333</v>
      </c>
      <c r="F40" s="25" t="n">
        <f aca="false">IFERROR(((F21+F22+F23+F25+F26))/F5,0)</f>
        <v>0.404385964912281</v>
      </c>
      <c r="G40" s="25" t="n">
        <f aca="false">IFERROR(((G21+G22+G23+G25+G26))/G5,0)</f>
        <v>0.306818181818182</v>
      </c>
      <c r="H40" s="7" t="s">
        <v>56</v>
      </c>
    </row>
    <row r="41" customFormat="false" ht="22.35" hidden="false" customHeight="false" outlineLevel="0" collapsed="false">
      <c r="B41" s="8" t="s">
        <v>57</v>
      </c>
      <c r="C41" s="26" t="n">
        <f aca="false">30*C7/1000000</f>
        <v>1.8</v>
      </c>
      <c r="D41" s="26" t="n">
        <f aca="false">30*D7/1000000</f>
        <v>1.8</v>
      </c>
      <c r="E41" s="26" t="n">
        <f aca="false">30*E7/1000000</f>
        <v>1.8</v>
      </c>
      <c r="F41" s="26" t="n">
        <f aca="false">30*F7/1000000</f>
        <v>1.8</v>
      </c>
      <c r="G41" s="26" t="n">
        <f aca="false">30*G7/1000000</f>
        <v>1.8</v>
      </c>
      <c r="H41" s="7" t="s">
        <v>58</v>
      </c>
    </row>
    <row r="44" customFormat="false" ht="15" hidden="false" customHeight="false" outlineLevel="0" collapsed="false">
      <c r="B44" s="27" t="s">
        <v>59</v>
      </c>
    </row>
    <row r="45" customFormat="false" ht="25.5" hidden="false" customHeight="true" outlineLevel="0" collapsed="false">
      <c r="B45" s="28" t="s">
        <v>60</v>
      </c>
      <c r="C45" s="28"/>
      <c r="D45" s="28"/>
      <c r="E45" s="28"/>
      <c r="F45" s="28"/>
      <c r="G45" s="28"/>
      <c r="H45" s="28"/>
    </row>
    <row r="46" customFormat="false" ht="25.5" hidden="false" customHeight="true" outlineLevel="0" collapsed="false">
      <c r="B46" s="28" t="s">
        <v>61</v>
      </c>
      <c r="C46" s="28"/>
      <c r="D46" s="28"/>
      <c r="E46" s="28"/>
      <c r="F46" s="28"/>
      <c r="G46" s="28"/>
      <c r="H46" s="28"/>
    </row>
    <row r="47" customFormat="false" ht="25.5" hidden="false" customHeight="true" outlineLevel="0" collapsed="false">
      <c r="B47" s="28" t="s">
        <v>62</v>
      </c>
      <c r="C47" s="28"/>
      <c r="D47" s="28"/>
      <c r="E47" s="28"/>
      <c r="F47" s="28"/>
      <c r="G47" s="28"/>
      <c r="H47" s="28"/>
    </row>
    <row r="48" customFormat="false" ht="25.5" hidden="false" customHeight="true" outlineLevel="0" collapsed="false">
      <c r="B48" s="28" t="s">
        <v>63</v>
      </c>
      <c r="C48" s="28"/>
      <c r="D48" s="28"/>
      <c r="E48" s="28"/>
      <c r="F48" s="28"/>
      <c r="G48" s="28"/>
      <c r="H48" s="28"/>
    </row>
  </sheetData>
  <mergeCells count="4">
    <mergeCell ref="B45:H45"/>
    <mergeCell ref="B46:H46"/>
    <mergeCell ref="B47:H47"/>
    <mergeCell ref="B48:H4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52"/>
  </cols>
  <sheetData>
    <row r="1" customFormat="false" ht="17.35" hidden="false" customHeight="false" outlineLevel="0" collapsed="false">
      <c r="B1" s="1" t="s">
        <v>64</v>
      </c>
    </row>
    <row r="2" customFormat="false" ht="15" hidden="false" customHeight="false" outlineLevel="0" collapsed="false">
      <c r="B2" s="2" t="s">
        <v>65</v>
      </c>
    </row>
    <row r="4" customFormat="false" ht="15" hidden="false" customHeight="false" outlineLevel="0" collapsed="false">
      <c r="B4" s="12" t="s">
        <v>66</v>
      </c>
      <c r="C4" s="13"/>
      <c r="D4" s="13"/>
      <c r="E4" s="13"/>
      <c r="F4" s="13"/>
      <c r="G4" s="13"/>
    </row>
    <row r="5" customFormat="false" ht="23.85" hidden="false" customHeight="false" outlineLevel="0" collapsed="false">
      <c r="B5" s="4" t="s">
        <v>67</v>
      </c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</row>
    <row r="6" customFormat="false" ht="22.35" hidden="false" customHeight="false" outlineLevel="0" collapsed="false">
      <c r="B6" s="20" t="s">
        <v>73</v>
      </c>
      <c r="C6" s="29" t="n">
        <v>1</v>
      </c>
      <c r="D6" s="9" t="n">
        <v>140000</v>
      </c>
      <c r="E6" s="9" t="n">
        <v>85000</v>
      </c>
      <c r="F6" s="10" t="n">
        <f aca="false">C6*E6</f>
        <v>85000</v>
      </c>
      <c r="G6" s="7" t="s">
        <v>74</v>
      </c>
    </row>
    <row r="7" customFormat="false" ht="22.35" hidden="false" customHeight="false" outlineLevel="0" collapsed="false">
      <c r="B7" s="20" t="s">
        <v>75</v>
      </c>
      <c r="C7" s="29" t="n">
        <v>3</v>
      </c>
      <c r="D7" s="9" t="n">
        <v>14000</v>
      </c>
      <c r="E7" s="9" t="n">
        <v>9000</v>
      </c>
      <c r="F7" s="10" t="n">
        <f aca="false">C7*E7</f>
        <v>27000</v>
      </c>
      <c r="G7" s="7" t="s">
        <v>76</v>
      </c>
    </row>
    <row r="8" customFormat="false" ht="22.35" hidden="false" customHeight="false" outlineLevel="0" collapsed="false">
      <c r="B8" s="20" t="s">
        <v>77</v>
      </c>
      <c r="C8" s="29" t="n">
        <v>1</v>
      </c>
      <c r="D8" s="9" t="n">
        <v>35000</v>
      </c>
      <c r="E8" s="9" t="n">
        <v>22000</v>
      </c>
      <c r="F8" s="10" t="n">
        <f aca="false">C8*E8</f>
        <v>22000</v>
      </c>
      <c r="G8" s="7" t="s">
        <v>78</v>
      </c>
    </row>
    <row r="9" customFormat="false" ht="15" hidden="false" customHeight="false" outlineLevel="0" collapsed="false">
      <c r="B9" s="20" t="s">
        <v>79</v>
      </c>
      <c r="C9" s="29" t="n">
        <v>1</v>
      </c>
      <c r="D9" s="9" t="n">
        <v>25000</v>
      </c>
      <c r="E9" s="9" t="n">
        <v>18000</v>
      </c>
      <c r="F9" s="10" t="n">
        <f aca="false">C9*E9</f>
        <v>18000</v>
      </c>
      <c r="G9" s="7" t="s">
        <v>80</v>
      </c>
    </row>
    <row r="10" customFormat="false" ht="15" hidden="false" customHeight="false" outlineLevel="0" collapsed="false">
      <c r="B10" s="20" t="s">
        <v>81</v>
      </c>
      <c r="C10" s="29" t="n">
        <v>1</v>
      </c>
      <c r="D10" s="9" t="n">
        <v>25000</v>
      </c>
      <c r="E10" s="9" t="n">
        <v>15000</v>
      </c>
      <c r="F10" s="10" t="n">
        <f aca="false">C10*E10</f>
        <v>15000</v>
      </c>
      <c r="G10" s="7" t="s">
        <v>82</v>
      </c>
    </row>
    <row r="11" customFormat="false" ht="15" hidden="false" customHeight="false" outlineLevel="0" collapsed="false">
      <c r="B11" s="20" t="s">
        <v>83</v>
      </c>
      <c r="C11" s="29" t="n">
        <v>1</v>
      </c>
      <c r="D11" s="9" t="n">
        <v>70000</v>
      </c>
      <c r="E11" s="9" t="n">
        <v>45000</v>
      </c>
      <c r="F11" s="10" t="n">
        <f aca="false">C11*E11</f>
        <v>45000</v>
      </c>
      <c r="G11" s="7" t="s">
        <v>82</v>
      </c>
    </row>
    <row r="12" customFormat="false" ht="15" hidden="false" customHeight="false" outlineLevel="0" collapsed="false">
      <c r="B12" s="20" t="s">
        <v>84</v>
      </c>
      <c r="C12" s="29" t="n">
        <v>1</v>
      </c>
      <c r="D12" s="9" t="n">
        <v>80000</v>
      </c>
      <c r="E12" s="9" t="n">
        <v>50000</v>
      </c>
      <c r="F12" s="10" t="n">
        <f aca="false">C12*E12</f>
        <v>50000</v>
      </c>
      <c r="G12" s="7" t="s">
        <v>85</v>
      </c>
    </row>
    <row r="13" customFormat="false" ht="15" hidden="false" customHeight="false" outlineLevel="0" collapsed="false">
      <c r="B13" s="20" t="s">
        <v>86</v>
      </c>
      <c r="C13" s="29" t="n">
        <v>1</v>
      </c>
      <c r="D13" s="9" t="n">
        <v>60000</v>
      </c>
      <c r="E13" s="9" t="n">
        <v>40000</v>
      </c>
      <c r="F13" s="10" t="n">
        <f aca="false">C13*E13</f>
        <v>40000</v>
      </c>
      <c r="G13" s="7" t="s">
        <v>82</v>
      </c>
    </row>
    <row r="14" customFormat="false" ht="15" hidden="false" customHeight="false" outlineLevel="0" collapsed="false">
      <c r="B14" s="20" t="s">
        <v>87</v>
      </c>
      <c r="C14" s="29" t="n">
        <v>1</v>
      </c>
      <c r="D14" s="9" t="n">
        <v>0</v>
      </c>
      <c r="E14" s="9" t="n">
        <v>60000</v>
      </c>
      <c r="F14" s="10" t="n">
        <f aca="false">C14*E14</f>
        <v>60000</v>
      </c>
      <c r="G14" s="7" t="s">
        <v>88</v>
      </c>
    </row>
    <row r="15" customFormat="false" ht="22.35" hidden="false" customHeight="false" outlineLevel="0" collapsed="false">
      <c r="B15" s="30" t="s">
        <v>89</v>
      </c>
      <c r="D15" s="31" t="n">
        <f aca="false">SUMPRODUCT(C6:C14,D6:D14)</f>
        <v>477000</v>
      </c>
      <c r="E15" s="30"/>
      <c r="F15" s="31" t="n">
        <f aca="false">SUM(F6:F14)</f>
        <v>362000</v>
      </c>
      <c r="G15" s="32" t="s">
        <v>90</v>
      </c>
    </row>
    <row r="17" customFormat="false" ht="15" hidden="false" customHeight="false" outlineLevel="0" collapsed="false">
      <c r="B17" s="33" t="s">
        <v>91</v>
      </c>
    </row>
    <row r="18" customFormat="false" ht="22.35" hidden="false" customHeight="false" outlineLevel="0" collapsed="false">
      <c r="B18" s="20" t="s">
        <v>92</v>
      </c>
      <c r="C18" s="29" t="n">
        <v>1</v>
      </c>
      <c r="D18" s="9" t="n">
        <v>250000</v>
      </c>
      <c r="E18" s="9" t="n">
        <v>170000</v>
      </c>
      <c r="F18" s="10" t="n">
        <f aca="false">C18*E18</f>
        <v>170000</v>
      </c>
      <c r="G18" s="7" t="s">
        <v>93</v>
      </c>
    </row>
    <row r="19" customFormat="false" ht="15" hidden="false" customHeight="false" outlineLevel="0" collapsed="false">
      <c r="B19" s="20" t="s">
        <v>94</v>
      </c>
      <c r="C19" s="29" t="n">
        <v>2</v>
      </c>
      <c r="D19" s="9" t="n">
        <v>10000</v>
      </c>
      <c r="E19" s="9" t="n">
        <v>6000</v>
      </c>
      <c r="F19" s="10" t="n">
        <f aca="false">C19*E19</f>
        <v>12000</v>
      </c>
      <c r="G19" s="7" t="s">
        <v>95</v>
      </c>
    </row>
    <row r="20" customFormat="false" ht="15" hidden="false" customHeight="false" outlineLevel="0" collapsed="false">
      <c r="B20" s="30" t="s">
        <v>96</v>
      </c>
      <c r="D20" s="31" t="n">
        <f aca="false">D15+SUMPRODUCT(C18:C19,D18:D19)</f>
        <v>747000</v>
      </c>
      <c r="E20" s="30"/>
      <c r="F20" s="31" t="n">
        <f aca="false">F15+SUM(F18:F19)</f>
        <v>544000</v>
      </c>
      <c r="G20" s="32" t="s">
        <v>97</v>
      </c>
    </row>
    <row r="22" customFormat="false" ht="15" hidden="false" customHeight="false" outlineLevel="0" collapsed="false">
      <c r="B22" s="12" t="s">
        <v>98</v>
      </c>
      <c r="C22" s="13"/>
      <c r="D22" s="13"/>
      <c r="E22" s="13"/>
      <c r="F22" s="13"/>
      <c r="G22" s="13"/>
    </row>
    <row r="23" customFormat="false" ht="23.85" hidden="false" customHeight="false" outlineLevel="0" collapsed="false">
      <c r="B23" s="4" t="s">
        <v>99</v>
      </c>
      <c r="C23" s="4" t="s">
        <v>100</v>
      </c>
      <c r="D23" s="4" t="s">
        <v>101</v>
      </c>
      <c r="E23" s="4" t="s">
        <v>102</v>
      </c>
      <c r="F23" s="4" t="s">
        <v>103</v>
      </c>
      <c r="G23" s="4" t="s">
        <v>72</v>
      </c>
    </row>
    <row r="24" customFormat="false" ht="22.35" hidden="false" customHeight="false" outlineLevel="0" collapsed="false">
      <c r="B24" s="20" t="s">
        <v>104</v>
      </c>
      <c r="C24" s="34" t="n">
        <v>1.05</v>
      </c>
      <c r="D24" s="35" t="s">
        <v>105</v>
      </c>
      <c r="E24" s="9" t="n">
        <v>5500</v>
      </c>
      <c r="F24" s="10" t="n">
        <f aca="false">C24*E24</f>
        <v>5775</v>
      </c>
      <c r="G24" s="7" t="s">
        <v>106</v>
      </c>
    </row>
    <row r="25" customFormat="false" ht="22.35" hidden="false" customHeight="false" outlineLevel="0" collapsed="false">
      <c r="B25" s="20" t="s">
        <v>107</v>
      </c>
      <c r="C25" s="34" t="n">
        <v>0.3</v>
      </c>
      <c r="D25" s="35" t="s">
        <v>108</v>
      </c>
      <c r="E25" s="9" t="n">
        <v>2000</v>
      </c>
      <c r="F25" s="10" t="n">
        <f aca="false">C25*E25</f>
        <v>600</v>
      </c>
      <c r="G25" s="7" t="s">
        <v>109</v>
      </c>
    </row>
    <row r="26" customFormat="false" ht="22.35" hidden="false" customHeight="false" outlineLevel="0" collapsed="false">
      <c r="B26" s="20" t="s">
        <v>110</v>
      </c>
      <c r="C26" s="34" t="n">
        <v>0.06</v>
      </c>
      <c r="D26" s="35" t="s">
        <v>108</v>
      </c>
      <c r="E26" s="9" t="n">
        <v>230000</v>
      </c>
      <c r="F26" s="10" t="n">
        <f aca="false">C26*E26</f>
        <v>13800</v>
      </c>
      <c r="G26" s="7" t="s">
        <v>111</v>
      </c>
    </row>
    <row r="27" customFormat="false" ht="15" hidden="false" customHeight="false" outlineLevel="0" collapsed="false">
      <c r="B27" s="20" t="s">
        <v>112</v>
      </c>
      <c r="C27" s="34" t="n">
        <v>0.03</v>
      </c>
      <c r="D27" s="35" t="s">
        <v>108</v>
      </c>
      <c r="E27" s="9" t="n">
        <v>25000</v>
      </c>
      <c r="F27" s="10" t="n">
        <f aca="false">C27*E27</f>
        <v>750</v>
      </c>
      <c r="G27" s="7" t="s">
        <v>113</v>
      </c>
    </row>
    <row r="28" customFormat="false" ht="15" hidden="false" customHeight="false" outlineLevel="0" collapsed="false">
      <c r="B28" s="20" t="s">
        <v>114</v>
      </c>
      <c r="C28" s="34" t="n">
        <v>0.05</v>
      </c>
      <c r="D28" s="35" t="s">
        <v>108</v>
      </c>
      <c r="E28" s="9" t="n">
        <v>40000</v>
      </c>
      <c r="F28" s="10" t="n">
        <f aca="false">C28*E28</f>
        <v>2000</v>
      </c>
      <c r="G28" s="7" t="s">
        <v>82</v>
      </c>
    </row>
    <row r="29" customFormat="false" ht="15" hidden="false" customHeight="false" outlineLevel="0" collapsed="false">
      <c r="B29" s="20" t="s">
        <v>115</v>
      </c>
      <c r="C29" s="34" t="n">
        <v>1</v>
      </c>
      <c r="D29" s="35" t="s">
        <v>105</v>
      </c>
      <c r="E29" s="9" t="n">
        <v>2500</v>
      </c>
      <c r="F29" s="10" t="n">
        <f aca="false">C29*E29</f>
        <v>2500</v>
      </c>
      <c r="G29" s="7" t="s">
        <v>116</v>
      </c>
    </row>
    <row r="30" customFormat="false" ht="15" hidden="false" customHeight="false" outlineLevel="0" collapsed="false">
      <c r="B30" s="20" t="s">
        <v>117</v>
      </c>
      <c r="C30" s="16" t="n">
        <v>0.1</v>
      </c>
      <c r="D30" s="36"/>
      <c r="E30" s="36"/>
      <c r="F30" s="10" t="n">
        <f aca="false">C30*SUM(F24:F29)</f>
        <v>2542.5</v>
      </c>
      <c r="G30" s="7" t="s">
        <v>118</v>
      </c>
    </row>
    <row r="31" customFormat="false" ht="15" hidden="false" customHeight="false" outlineLevel="0" collapsed="false">
      <c r="B31" s="30" t="s">
        <v>119</v>
      </c>
      <c r="C31" s="37"/>
      <c r="D31" s="37"/>
      <c r="E31" s="37"/>
      <c r="F31" s="31" t="n">
        <f aca="false">SUM(F24:F30)</f>
        <v>27967.5</v>
      </c>
      <c r="G31" s="37"/>
    </row>
    <row r="33" customFormat="false" ht="15" hidden="false" customHeight="false" outlineLevel="0" collapsed="false">
      <c r="B33" s="12" t="s">
        <v>120</v>
      </c>
      <c r="C33" s="13"/>
      <c r="D33" s="13"/>
      <c r="E33" s="13"/>
      <c r="F33" s="13"/>
      <c r="G33" s="13"/>
    </row>
    <row r="34" customFormat="false" ht="15" hidden="false" customHeight="false" outlineLevel="0" collapsed="false">
      <c r="B34" s="4" t="s">
        <v>121</v>
      </c>
      <c r="C34" s="4" t="s">
        <v>2</v>
      </c>
      <c r="D34" s="4" t="s">
        <v>122</v>
      </c>
      <c r="E34" s="38"/>
      <c r="F34" s="38"/>
      <c r="G34" s="4" t="s">
        <v>123</v>
      </c>
    </row>
    <row r="35" customFormat="false" ht="15" hidden="false" customHeight="false" outlineLevel="0" collapsed="false">
      <c r="B35" s="20" t="s">
        <v>124</v>
      </c>
      <c r="C35" s="39" t="s">
        <v>125</v>
      </c>
      <c r="D35" s="9" t="n">
        <v>25</v>
      </c>
      <c r="E35" s="20"/>
      <c r="F35" s="20"/>
      <c r="G35" s="7" t="s">
        <v>126</v>
      </c>
    </row>
    <row r="36" customFormat="false" ht="15" hidden="false" customHeight="false" outlineLevel="0" collapsed="false">
      <c r="B36" s="20" t="s">
        <v>127</v>
      </c>
      <c r="C36" s="39" t="s">
        <v>125</v>
      </c>
      <c r="D36" s="9" t="n">
        <v>30</v>
      </c>
      <c r="E36" s="20"/>
      <c r="F36" s="20"/>
      <c r="G36" s="7" t="s">
        <v>128</v>
      </c>
    </row>
    <row r="37" customFormat="false" ht="15" hidden="false" customHeight="false" outlineLevel="0" collapsed="false">
      <c r="B37" s="20" t="s">
        <v>129</v>
      </c>
      <c r="C37" s="39" t="s">
        <v>125</v>
      </c>
      <c r="D37" s="9" t="n">
        <v>20</v>
      </c>
      <c r="E37" s="20"/>
      <c r="F37" s="20"/>
      <c r="G37" s="7" t="s">
        <v>130</v>
      </c>
    </row>
    <row r="38" customFormat="false" ht="15" hidden="false" customHeight="false" outlineLevel="0" collapsed="false">
      <c r="B38" s="20" t="s">
        <v>131</v>
      </c>
      <c r="C38" s="39" t="s">
        <v>125</v>
      </c>
      <c r="D38" s="9" t="n">
        <v>10</v>
      </c>
      <c r="E38" s="20"/>
      <c r="F38" s="20"/>
      <c r="G38" s="7" t="s">
        <v>132</v>
      </c>
    </row>
    <row r="39" customFormat="false" ht="15" hidden="false" customHeight="false" outlineLevel="0" collapsed="false">
      <c r="B39" s="20" t="s">
        <v>133</v>
      </c>
      <c r="C39" s="39" t="s">
        <v>125</v>
      </c>
      <c r="D39" s="9" t="n">
        <v>15</v>
      </c>
      <c r="E39" s="20"/>
      <c r="F39" s="20"/>
      <c r="G39" s="7"/>
    </row>
    <row r="40" customFormat="false" ht="15" hidden="false" customHeight="false" outlineLevel="0" collapsed="false">
      <c r="B40" s="20" t="s">
        <v>134</v>
      </c>
      <c r="C40" s="39" t="s">
        <v>125</v>
      </c>
      <c r="D40" s="9" t="n">
        <v>20</v>
      </c>
      <c r="E40" s="20"/>
      <c r="F40" s="20"/>
      <c r="G40" s="7" t="s">
        <v>135</v>
      </c>
    </row>
    <row r="41" customFormat="false" ht="15" hidden="false" customHeight="false" outlineLevel="0" collapsed="false">
      <c r="B41" s="20" t="s">
        <v>136</v>
      </c>
      <c r="C41" s="39" t="s">
        <v>137</v>
      </c>
      <c r="D41" s="9" t="n">
        <v>120</v>
      </c>
      <c r="E41" s="20"/>
      <c r="F41" s="20"/>
      <c r="G41" s="7" t="s">
        <v>138</v>
      </c>
    </row>
    <row r="42" customFormat="false" ht="15" hidden="false" customHeight="false" outlineLevel="0" collapsed="false">
      <c r="B42" s="20" t="s">
        <v>139</v>
      </c>
      <c r="C42" s="39" t="s">
        <v>137</v>
      </c>
      <c r="D42" s="9" t="n">
        <v>60</v>
      </c>
      <c r="E42" s="20"/>
      <c r="F42" s="20"/>
      <c r="G42" s="7"/>
    </row>
    <row r="43" customFormat="false" ht="15" hidden="false" customHeight="false" outlineLevel="0" collapsed="false">
      <c r="B43" s="20" t="s">
        <v>140</v>
      </c>
      <c r="C43" s="39" t="s">
        <v>141</v>
      </c>
      <c r="D43" s="9" t="n">
        <v>400</v>
      </c>
      <c r="E43" s="20"/>
      <c r="F43" s="20"/>
      <c r="G43" s="7"/>
    </row>
    <row r="44" customFormat="false" ht="15" hidden="false" customHeight="false" outlineLevel="0" collapsed="false">
      <c r="B44" s="20" t="s">
        <v>142</v>
      </c>
      <c r="C44" s="39" t="s">
        <v>143</v>
      </c>
      <c r="D44" s="9" t="n">
        <v>300</v>
      </c>
      <c r="E44" s="20"/>
      <c r="F44" s="20"/>
      <c r="G44" s="7"/>
    </row>
    <row r="45" customFormat="false" ht="15" hidden="false" customHeight="false" outlineLevel="0" collapsed="false">
      <c r="B45" s="20" t="s">
        <v>144</v>
      </c>
      <c r="C45" s="39" t="s">
        <v>145</v>
      </c>
      <c r="D45" s="9" t="n">
        <v>500</v>
      </c>
      <c r="E45" s="20"/>
      <c r="F45" s="20"/>
      <c r="G45" s="7" t="s">
        <v>146</v>
      </c>
    </row>
    <row r="47" customFormat="false" ht="15" hidden="false" customHeight="false" outlineLevel="0" collapsed="false">
      <c r="B47" s="12" t="s">
        <v>147</v>
      </c>
      <c r="C47" s="13"/>
      <c r="D47" s="13"/>
      <c r="E47" s="13"/>
      <c r="F47" s="13"/>
      <c r="G47" s="13"/>
    </row>
    <row r="48" customFormat="false" ht="30" hidden="false" customHeight="true" outlineLevel="0" collapsed="false">
      <c r="B48" s="18" t="s">
        <v>148</v>
      </c>
      <c r="C48" s="40" t="s">
        <v>149</v>
      </c>
      <c r="D48" s="40"/>
      <c r="E48" s="40"/>
      <c r="F48" s="40"/>
      <c r="G48" s="40"/>
    </row>
    <row r="49" customFormat="false" ht="30" hidden="false" customHeight="true" outlineLevel="0" collapsed="false">
      <c r="B49" s="18" t="s">
        <v>150</v>
      </c>
      <c r="C49" s="40" t="s">
        <v>151</v>
      </c>
      <c r="D49" s="40"/>
      <c r="E49" s="40"/>
      <c r="F49" s="40"/>
      <c r="G49" s="40"/>
    </row>
    <row r="50" customFormat="false" ht="30" hidden="false" customHeight="true" outlineLevel="0" collapsed="false">
      <c r="B50" s="18" t="s">
        <v>152</v>
      </c>
      <c r="C50" s="40" t="s">
        <v>153</v>
      </c>
      <c r="D50" s="40"/>
      <c r="E50" s="40"/>
      <c r="F50" s="40"/>
      <c r="G50" s="40"/>
    </row>
    <row r="51" customFormat="false" ht="30" hidden="false" customHeight="true" outlineLevel="0" collapsed="false">
      <c r="B51" s="18" t="s">
        <v>154</v>
      </c>
      <c r="C51" s="40" t="s">
        <v>155</v>
      </c>
      <c r="D51" s="40"/>
      <c r="E51" s="40"/>
      <c r="F51" s="40"/>
      <c r="G51" s="40"/>
    </row>
    <row r="52" customFormat="false" ht="30" hidden="false" customHeight="true" outlineLevel="0" collapsed="false">
      <c r="B52" s="18" t="s">
        <v>156</v>
      </c>
      <c r="C52" s="40" t="s">
        <v>157</v>
      </c>
      <c r="D52" s="40"/>
      <c r="E52" s="40"/>
      <c r="F52" s="40"/>
      <c r="G52" s="40"/>
    </row>
  </sheetData>
  <mergeCells count="5">
    <mergeCell ref="C48:G48"/>
    <mergeCell ref="C49:G49"/>
    <mergeCell ref="C50:G50"/>
    <mergeCell ref="C51:G51"/>
    <mergeCell ref="C52:G5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2026-10-03T04:57:11Z</dcterms:created>
  <dc:creator>openpyxl</dc:creator>
  <dc:description/>
  <dc:language>en-US</dc:language>
  <cp:lastModifiedBy/>
  <dcterms:modified xsi:type="dcterms:W3CDTF">2026-10-03T04:57:11Z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